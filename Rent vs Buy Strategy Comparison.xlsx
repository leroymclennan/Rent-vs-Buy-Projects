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t vs Buy Comparison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DESC: Renting and investing all surplus cashflow into a broad market ETF
</t>
      </text>
    </comment>
    <comment authorId="0" ref="H13">
      <text>
        <t xml:space="preserve">DESC: Buying a PPOR, borrowing the maximum and paying off the minimum, and investing all surplus cashflow into a broad market ETF</t>
      </text>
    </comment>
    <comment authorId="0" ref="J13">
      <text>
        <t xml:space="preserve">DESC: Buying a PPOR using all available funds, then borrowing against the available equity for an investment loan to invest in a broad market ETF and take advantages of the negative gearing tax benefits</t>
      </text>
    </comment>
    <comment authorId="0" ref="N13">
      <text>
        <t xml:space="preserve">DESC: Buying an investment property, whilst renting, paying off the bare minimum of that property to maximise negative gearing tax advantages, and investing all surplus cash flow into a broad market ETF</t>
      </text>
    </comment>
  </commentList>
</comments>
</file>

<file path=xl/sharedStrings.xml><?xml version="1.0" encoding="utf-8"?>
<sst xmlns="http://schemas.openxmlformats.org/spreadsheetml/2006/main" count="41" uniqueCount="34">
  <si>
    <t>STARTING POSITION</t>
  </si>
  <si>
    <t>PURCHASED PROPERTY CHARACTERISTICS</t>
  </si>
  <si>
    <t>Starting equity value</t>
  </si>
  <si>
    <t>Maximum Borrowing Power</t>
  </si>
  <si>
    <t>Stock growth rate</t>
  </si>
  <si>
    <t>Property Price</t>
  </si>
  <si>
    <t>Disposable income</t>
  </si>
  <si>
    <t>Deposit</t>
  </si>
  <si>
    <t>Increase in wages per year</t>
  </si>
  <si>
    <t>Mortgage interest rate</t>
  </si>
  <si>
    <t>Upper tax bracket</t>
  </si>
  <si>
    <t>Property price growth rate</t>
  </si>
  <si>
    <t>RENTAL PROPERTY CHARACTERISTICS</t>
  </si>
  <si>
    <t>Mortgage Repayment per Month</t>
  </si>
  <si>
    <t>Current Rent/year</t>
  </si>
  <si>
    <t>Property Fees (% total prop value)</t>
  </si>
  <si>
    <t>Annual Rent Increast (based on CPI)</t>
  </si>
  <si>
    <t>Starting Rental yield</t>
  </si>
  <si>
    <t>Stamp Duty</t>
  </si>
  <si>
    <t>Year</t>
  </si>
  <si>
    <t>RENT + ETF Strategy</t>
  </si>
  <si>
    <t>Mortgage Characteristics for Property Buying Strategies</t>
  </si>
  <si>
    <t>PPOR + ETF Strategy</t>
  </si>
  <si>
    <t>PPOR + DEBT REC + ETF Strategy</t>
  </si>
  <si>
    <t>RENT + IP + ETF Strategy</t>
  </si>
  <si>
    <t>Annual Rent</t>
  </si>
  <si>
    <t>Annual Investment</t>
  </si>
  <si>
    <t>Property Value</t>
  </si>
  <si>
    <t>Mortgage Value</t>
  </si>
  <si>
    <t>Interest Per Year</t>
  </si>
  <si>
    <t>Stock Portfolio Value</t>
  </si>
  <si>
    <t>Stock Loan Value</t>
  </si>
  <si>
    <t>Yearly Negative Gearing Tax Writeoff</t>
  </si>
  <si>
    <t>Rent Earnings per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</si>
</sst>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</font>
    <font/>
    <font>
      <b/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4" fillId="0" fontId="4" numFmtId="0" xfId="0" applyBorder="1" applyFont="1"/>
    <xf borderId="7" fillId="0" fontId="5" numFmtId="0" xfId="0" applyAlignment="1" applyBorder="1" applyFont="1">
      <alignment readingOrder="0" vertical="bottom"/>
    </xf>
    <xf borderId="0" fillId="0" fontId="4" numFmtId="164" xfId="0" applyAlignment="1" applyFont="1" applyNumberFormat="1">
      <alignment readingOrder="0"/>
    </xf>
    <xf borderId="4" fillId="0" fontId="4" numFmtId="0" xfId="0" applyAlignment="1" applyBorder="1" applyFont="1">
      <alignment readingOrder="0"/>
    </xf>
    <xf borderId="6" fillId="0" fontId="4" numFmtId="165" xfId="0" applyBorder="1" applyFont="1" applyNumberFormat="1"/>
    <xf borderId="7" fillId="0" fontId="2" numFmtId="0" xfId="0" applyBorder="1" applyFont="1"/>
    <xf borderId="8" fillId="0" fontId="2" numFmtId="0" xfId="0" applyBorder="1" applyFont="1"/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7" fillId="0" fontId="6" numFmtId="0" xfId="0" applyAlignment="1" applyBorder="1" applyFont="1">
      <alignment readingOrder="0" vertical="bottom"/>
    </xf>
    <xf borderId="8" fillId="0" fontId="7" numFmtId="164" xfId="0" applyAlignment="1" applyBorder="1" applyFont="1" applyNumberFormat="1">
      <alignment readingOrder="0"/>
    </xf>
    <xf borderId="8" fillId="0" fontId="4" numFmtId="164" xfId="0" applyAlignment="1" applyBorder="1" applyFont="1" applyNumberFormat="1">
      <alignment readingOrder="0"/>
    </xf>
    <xf borderId="7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6" fillId="0" fontId="7" numFmtId="164" xfId="0" applyAlignment="1" applyBorder="1" applyFont="1" applyNumberFormat="1">
      <alignment readingOrder="0"/>
    </xf>
    <xf borderId="8" fillId="0" fontId="7" numFmtId="9" xfId="0" applyAlignment="1" applyBorder="1" applyFont="1" applyNumberFormat="1">
      <alignment readingOrder="0"/>
    </xf>
    <xf borderId="7" fillId="3" fontId="7" numFmtId="0" xfId="0" applyAlignment="1" applyBorder="1" applyFill="1" applyFont="1">
      <alignment readingOrder="0"/>
    </xf>
    <xf borderId="8" fillId="3" fontId="7" numFmtId="0" xfId="0" applyAlignment="1" applyBorder="1" applyFont="1">
      <alignment readingOrder="0"/>
    </xf>
    <xf borderId="8" fillId="0" fontId="4" numFmtId="164" xfId="0" applyBorder="1" applyFont="1" applyNumberFormat="1"/>
    <xf borderId="7" fillId="0" fontId="4" numFmtId="0" xfId="0" applyBorder="1" applyFont="1"/>
    <xf borderId="8" fillId="0" fontId="4" numFmtId="0" xfId="0" applyBorder="1" applyFont="1"/>
    <xf borderId="9" fillId="0" fontId="6" numFmtId="0" xfId="0" applyAlignment="1" applyBorder="1" applyFont="1">
      <alignment readingOrder="0" vertical="bottom"/>
    </xf>
    <xf borderId="10" fillId="0" fontId="2" numFmtId="0" xfId="0" applyBorder="1" applyFont="1"/>
    <xf borderId="11" fillId="0" fontId="7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9" fillId="0" fontId="2" numFmtId="0" xfId="0" applyBorder="1" applyFont="1"/>
    <xf borderId="11" fillId="0" fontId="2" numFmtId="0" xfId="0" applyBorder="1" applyFont="1"/>
    <xf borderId="12" fillId="2" fontId="8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vertical="center"/>
    </xf>
    <xf borderId="1" fillId="7" fontId="9" numFmtId="0" xfId="0" applyAlignment="1" applyBorder="1" applyFill="1" applyFont="1">
      <alignment horizontal="center" readingOrder="0" shrinkToFit="0" vertical="center" wrapText="1"/>
    </xf>
    <xf borderId="13" fillId="0" fontId="2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9" fontId="8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3" fillId="10" fontId="8" numFmtId="0" xfId="0" applyAlignment="1" applyBorder="1" applyFill="1" applyFont="1">
      <alignment horizontal="center" readingOrder="0" shrinkToFit="0" vertical="center" wrapText="1"/>
    </xf>
    <xf borderId="3" fillId="11" fontId="8" numFmtId="0" xfId="0" applyAlignment="1" applyBorder="1" applyFill="1" applyFont="1">
      <alignment horizontal="center" readingOrder="0" shrinkToFit="0" vertical="center" wrapText="1"/>
    </xf>
    <xf borderId="12" fillId="12" fontId="4" numFmtId="0" xfId="0" applyAlignment="1" applyBorder="1" applyFill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8" fontId="8" numFmtId="164" xfId="0" applyAlignment="1" applyFont="1" applyNumberFormat="1">
      <alignment horizontal="center"/>
    </xf>
    <xf borderId="7" fillId="0" fontId="4" numFmtId="164" xfId="0" applyAlignment="1" applyBorder="1" applyFont="1" applyNumberFormat="1">
      <alignment horizontal="center"/>
    </xf>
    <xf borderId="8" fillId="0" fontId="4" numFmtId="164" xfId="0" applyAlignment="1" applyBorder="1" applyFont="1" applyNumberFormat="1">
      <alignment horizontal="center"/>
    </xf>
    <xf borderId="8" fillId="9" fontId="8" numFmtId="164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center"/>
    </xf>
    <xf borderId="5" fillId="0" fontId="4" numFmtId="164" xfId="0" applyBorder="1" applyFont="1" applyNumberFormat="1"/>
    <xf borderId="6" fillId="10" fontId="8" numFmtId="164" xfId="0" applyAlignment="1" applyBorder="1" applyFont="1" applyNumberFormat="1">
      <alignment horizontal="center"/>
    </xf>
    <xf borderId="5" fillId="0" fontId="4" numFmtId="164" xfId="0" applyAlignment="1" applyBorder="1" applyFont="1" applyNumberFormat="1">
      <alignment horizontal="center"/>
    </xf>
    <xf borderId="8" fillId="11" fontId="8" numFmtId="164" xfId="0" applyAlignment="1" applyBorder="1" applyFont="1" applyNumberFormat="1">
      <alignment horizontal="center"/>
    </xf>
    <xf borderId="14" fillId="12" fontId="4" numFmtId="0" xfId="0" applyAlignment="1" applyBorder="1" applyFont="1">
      <alignment horizontal="center" readingOrder="0"/>
    </xf>
    <xf borderId="0" fillId="0" fontId="4" numFmtId="164" xfId="0" applyFont="1" applyNumberFormat="1"/>
    <xf borderId="8" fillId="10" fontId="8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3" fillId="12" fontId="4" numFmtId="0" xfId="0" applyAlignment="1" applyBorder="1" applyFont="1">
      <alignment horizontal="center" readingOrder="0"/>
    </xf>
    <xf borderId="10" fillId="0" fontId="4" numFmtId="164" xfId="0" applyAlignment="1" applyBorder="1" applyFont="1" applyNumberFormat="1">
      <alignment horizontal="center"/>
    </xf>
    <xf borderId="10" fillId="8" fontId="8" numFmtId="164" xfId="0" applyAlignment="1" applyBorder="1" applyFont="1" applyNumberFormat="1">
      <alignment horizontal="center"/>
    </xf>
    <xf borderId="9" fillId="0" fontId="4" numFmtId="164" xfId="0" applyAlignment="1" applyBorder="1" applyFont="1" applyNumberFormat="1">
      <alignment horizontal="center"/>
    </xf>
    <xf borderId="11" fillId="0" fontId="4" numFmtId="164" xfId="0" applyAlignment="1" applyBorder="1" applyFont="1" applyNumberFormat="1">
      <alignment horizontal="center"/>
    </xf>
    <xf borderId="11" fillId="9" fontId="8" numFmtId="164" xfId="0" applyAlignment="1" applyBorder="1" applyFont="1" applyNumberFormat="1">
      <alignment horizontal="center"/>
    </xf>
    <xf borderId="10" fillId="0" fontId="4" numFmtId="0" xfId="0" applyAlignment="1" applyBorder="1" applyFont="1">
      <alignment readingOrder="0"/>
    </xf>
    <xf borderId="11" fillId="10" fontId="8" numFmtId="164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1" fillId="11" fontId="8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695027873743716"/>
          <c:y val="0.15591397849462363"/>
          <c:w val="0.8774718318153267"/>
          <c:h val="0.6807795698924731"/>
        </c:manualLayout>
      </c:layout>
      <c:lineChart>
        <c:ser>
          <c:idx val="0"/>
          <c:order val="0"/>
          <c:tx>
            <c:strRef>
              <c:f>'Rent vs Buy Comparison'!$D$14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'Rent vs Buy Comparison'!$A$15:$A$44</c:f>
            </c:strRef>
          </c:cat>
          <c:val>
            <c:numRef>
              <c:f>'Rent vs Buy Comparison'!$D$15:$D$44</c:f>
              <c:numCache/>
            </c:numRef>
          </c:val>
          <c:smooth val="0"/>
        </c:ser>
        <c:ser>
          <c:idx val="1"/>
          <c:order val="1"/>
          <c:tx>
            <c:strRef>
              <c:f>'Rent vs Buy Comparison'!$I$14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'Rent vs Buy Comparison'!$A$15:$A$44</c:f>
            </c:strRef>
          </c:cat>
          <c:val>
            <c:numRef>
              <c:f>'Rent vs Buy Comparison'!$I$15:$I$44</c:f>
              <c:numCache/>
            </c:numRef>
          </c:val>
          <c:smooth val="0"/>
        </c:ser>
        <c:ser>
          <c:idx val="2"/>
          <c:order val="2"/>
          <c:tx>
            <c:strRef>
              <c:f>'Rent vs Buy Comparison'!$M$14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'Rent vs Buy Comparison'!$A$15:$A$44</c:f>
            </c:strRef>
          </c:cat>
          <c:val>
            <c:numRef>
              <c:f>'Rent vs Buy Comparison'!$M$15:$M$44</c:f>
              <c:numCache/>
            </c:numRef>
          </c:val>
          <c:smooth val="0"/>
        </c:ser>
        <c:ser>
          <c:idx val="3"/>
          <c:order val="3"/>
          <c:tx>
            <c:strRef>
              <c:f>'Rent vs Buy Comparison'!$Q$14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'Rent vs Buy Comparison'!$A$15:$A$44</c:f>
            </c:strRef>
          </c:cat>
          <c:val>
            <c:numRef>
              <c:f>'Rent vs Buy Comparison'!$Q$15:$Q$44</c:f>
              <c:numCache/>
            </c:numRef>
          </c:val>
          <c:smooth val="0"/>
        </c:ser>
        <c:axId val="1733414582"/>
        <c:axId val="1329732960"/>
      </c:lineChart>
      <c:catAx>
        <c:axId val="1733414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09438746466708543"/>
              <c:y val="0.925806451612903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732960"/>
      </c:catAx>
      <c:valAx>
        <c:axId val="1329732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_);($#,##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414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762000</xdr:colOff>
      <xdr:row>0</xdr:row>
      <xdr:rowOff>9525</xdr:rowOff>
    </xdr:from>
    <xdr:ext cx="7639050" cy="2381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10.13"/>
  </cols>
  <sheetData>
    <row r="1">
      <c r="A1" s="1" t="s">
        <v>0</v>
      </c>
      <c r="B1" s="2"/>
      <c r="C1" s="2"/>
      <c r="D1" s="3"/>
      <c r="E1" s="4" t="s">
        <v>1</v>
      </c>
      <c r="F1" s="5"/>
      <c r="G1" s="5"/>
      <c r="H1" s="6"/>
      <c r="I1" s="7"/>
      <c r="J1" s="5"/>
      <c r="K1" s="5"/>
      <c r="L1" s="5"/>
      <c r="M1" s="5"/>
      <c r="N1" s="5"/>
      <c r="O1" s="5"/>
      <c r="P1" s="5"/>
      <c r="Q1" s="6"/>
    </row>
    <row r="2">
      <c r="A2" s="8" t="s">
        <v>2</v>
      </c>
      <c r="D2" s="9">
        <v>500000.0</v>
      </c>
      <c r="E2" s="10" t="s">
        <v>3</v>
      </c>
      <c r="F2" s="5"/>
      <c r="G2" s="5"/>
      <c r="H2" s="11">
        <f>ROUND(PV((H5-1)/12, 30*12, -(D4/12)),-5)</f>
        <v>900000</v>
      </c>
      <c r="I2" s="12"/>
      <c r="Q2" s="13"/>
    </row>
    <row r="3">
      <c r="A3" s="14" t="s">
        <v>4</v>
      </c>
      <c r="D3" s="15">
        <v>1.1</v>
      </c>
      <c r="E3" s="16" t="s">
        <v>5</v>
      </c>
      <c r="H3" s="17">
        <v>1000000.0</v>
      </c>
      <c r="I3" s="12"/>
      <c r="Q3" s="13"/>
    </row>
    <row r="4">
      <c r="A4" s="14" t="s">
        <v>6</v>
      </c>
      <c r="D4" s="18">
        <f>2000*12+440*48+425*52</f>
        <v>67220</v>
      </c>
      <c r="E4" s="16" t="s">
        <v>7</v>
      </c>
      <c r="H4" s="17">
        <f>H3*0.1</f>
        <v>100000</v>
      </c>
      <c r="I4" s="12"/>
      <c r="Q4" s="13"/>
    </row>
    <row r="5">
      <c r="A5" s="14" t="s">
        <v>8</v>
      </c>
      <c r="D5" s="15">
        <v>1.02</v>
      </c>
      <c r="E5" s="19" t="s">
        <v>9</v>
      </c>
      <c r="H5" s="20">
        <v>1.067</v>
      </c>
      <c r="I5" s="12"/>
      <c r="Q5" s="13"/>
    </row>
    <row r="6">
      <c r="A6" s="14" t="s">
        <v>10</v>
      </c>
      <c r="D6" s="15">
        <v>0.3</v>
      </c>
      <c r="E6" s="19" t="s">
        <v>11</v>
      </c>
      <c r="H6" s="20">
        <v>1.07</v>
      </c>
      <c r="I6" s="12"/>
      <c r="Q6" s="13"/>
    </row>
    <row r="7">
      <c r="A7" s="21" t="s">
        <v>12</v>
      </c>
      <c r="B7" s="2"/>
      <c r="C7" s="2"/>
      <c r="D7" s="3"/>
      <c r="E7" s="19" t="s">
        <v>13</v>
      </c>
      <c r="H7" s="17">
        <f>-PMT(H5-1,30,H3-H4+H10,0)/12</f>
        <v>6119.614037</v>
      </c>
      <c r="I7" s="12"/>
      <c r="Q7" s="13"/>
    </row>
    <row r="8">
      <c r="A8" s="22" t="s">
        <v>14</v>
      </c>
      <c r="B8" s="5"/>
      <c r="C8" s="5"/>
      <c r="D8" s="23">
        <f>425*52</f>
        <v>22100</v>
      </c>
      <c r="E8" s="19" t="s">
        <v>15</v>
      </c>
      <c r="H8" s="24">
        <v>0.01</v>
      </c>
      <c r="I8" s="12"/>
      <c r="Q8" s="13"/>
    </row>
    <row r="9">
      <c r="A9" s="19" t="s">
        <v>16</v>
      </c>
      <c r="D9" s="20">
        <v>1.03</v>
      </c>
      <c r="E9" s="25" t="s">
        <v>17</v>
      </c>
      <c r="H9" s="26">
        <v>1.03</v>
      </c>
      <c r="I9" s="12"/>
      <c r="Q9" s="13"/>
    </row>
    <row r="10">
      <c r="A10" s="19"/>
      <c r="D10" s="20"/>
      <c r="E10" s="14" t="s">
        <v>18</v>
      </c>
      <c r="H10" s="27">
        <f>IF(AND(H3&gt;372000,H3&lt;1240000),11152+0.045*(H3-372000),50212+0.055*(H3-124000))</f>
        <v>39412</v>
      </c>
      <c r="I10" s="12"/>
      <c r="Q10" s="13"/>
    </row>
    <row r="11">
      <c r="A11" s="19"/>
      <c r="D11" s="20"/>
      <c r="E11" s="28"/>
      <c r="H11" s="29"/>
      <c r="I11" s="12"/>
      <c r="Q11" s="13"/>
    </row>
    <row r="12">
      <c r="A12" s="30"/>
      <c r="B12" s="31"/>
      <c r="C12" s="31"/>
      <c r="D12" s="32"/>
      <c r="E12" s="33"/>
      <c r="F12" s="34"/>
      <c r="G12" s="34"/>
      <c r="H12" s="35"/>
      <c r="I12" s="36"/>
      <c r="J12" s="31"/>
      <c r="K12" s="31"/>
      <c r="L12" s="31"/>
      <c r="M12" s="31"/>
      <c r="N12" s="31"/>
      <c r="O12" s="31"/>
      <c r="P12" s="31"/>
      <c r="Q12" s="37"/>
    </row>
    <row r="13">
      <c r="A13" s="38" t="s">
        <v>19</v>
      </c>
      <c r="B13" s="39" t="s">
        <v>20</v>
      </c>
      <c r="C13" s="2"/>
      <c r="D13" s="3"/>
      <c r="E13" s="40" t="s">
        <v>21</v>
      </c>
      <c r="F13" s="2"/>
      <c r="G13" s="3"/>
      <c r="H13" s="41" t="s">
        <v>22</v>
      </c>
      <c r="I13" s="2"/>
      <c r="J13" s="42" t="s">
        <v>23</v>
      </c>
      <c r="K13" s="2"/>
      <c r="L13" s="2"/>
      <c r="M13" s="3"/>
      <c r="N13" s="43" t="s">
        <v>24</v>
      </c>
      <c r="O13" s="2"/>
      <c r="P13" s="2"/>
      <c r="Q13" s="3"/>
    </row>
    <row r="14">
      <c r="A14" s="44"/>
      <c r="B14" s="45" t="s">
        <v>25</v>
      </c>
      <c r="C14" s="46" t="s">
        <v>26</v>
      </c>
      <c r="D14" s="47" t="s">
        <v>20</v>
      </c>
      <c r="E14" s="45" t="s">
        <v>27</v>
      </c>
      <c r="F14" s="46" t="s">
        <v>28</v>
      </c>
      <c r="G14" s="48" t="s">
        <v>29</v>
      </c>
      <c r="H14" s="46" t="s">
        <v>30</v>
      </c>
      <c r="I14" s="49" t="s">
        <v>22</v>
      </c>
      <c r="J14" s="46" t="s">
        <v>30</v>
      </c>
      <c r="K14" s="46" t="s">
        <v>31</v>
      </c>
      <c r="L14" s="50" t="s">
        <v>32</v>
      </c>
      <c r="M14" s="51" t="s">
        <v>23</v>
      </c>
      <c r="N14" s="45" t="s">
        <v>33</v>
      </c>
      <c r="O14" s="50" t="s">
        <v>32</v>
      </c>
      <c r="P14" s="46" t="s">
        <v>30</v>
      </c>
      <c r="Q14" s="52" t="s">
        <v>24</v>
      </c>
    </row>
    <row r="15">
      <c r="A15" s="53">
        <v>1.0</v>
      </c>
      <c r="B15" s="54">
        <f>D8</f>
        <v>22100</v>
      </c>
      <c r="C15" s="54">
        <f t="shared" ref="C15:C44" si="1">$D$4*$D$5^(A15-1)-B15</f>
        <v>45120</v>
      </c>
      <c r="D15" s="55">
        <f>($D$2+C15)*D3</f>
        <v>599632</v>
      </c>
      <c r="E15" s="56">
        <f t="shared" ref="E15:E44" si="2">$H$3*$H$6^(A15-1)</f>
        <v>1000000</v>
      </c>
      <c r="F15" s="54">
        <f>($H$3-$H$4)*$H$5+H10-12*$H$7</f>
        <v>926276.6316</v>
      </c>
      <c r="G15" s="57">
        <f t="shared" ref="G15:G44" si="3">F15*($H$5-1)</f>
        <v>62060.53431</v>
      </c>
      <c r="H15" s="54">
        <f>($D$2-$H$4+$D$4-12*$H$7-$H$8*$E$15)*$D$3</f>
        <v>422163.0947</v>
      </c>
      <c r="I15" s="58">
        <f t="shared" ref="I15:I44" si="4">E15+H15-F15</f>
        <v>495886.4632</v>
      </c>
      <c r="J15" s="59">
        <f>($D$2-$H$4+$D$4-12*$H$7-$H$8*$E$15)*$D$3</f>
        <v>422163.0947</v>
      </c>
      <c r="K15" s="60">
        <f>(J15-(J15/F15)*12*$H$7)*$H$5</f>
        <v>414736.4265</v>
      </c>
      <c r="L15" s="60">
        <f t="shared" ref="L15:L44" si="5">K15*(1-$H$5+0.01)*$D$6</f>
        <v>-7091.992893</v>
      </c>
      <c r="M15" s="61">
        <f t="shared" ref="M15:M44" si="6">E15+J15-F15</f>
        <v>495886.4632</v>
      </c>
      <c r="N15" s="56">
        <f t="shared" ref="N15:N44" si="7">$E$15*($H$9-1)*$D$9^(A15-1)</f>
        <v>30000</v>
      </c>
      <c r="O15" s="62">
        <f t="shared" ref="O15:O44" si="8">IF(N15-G15&lt;0,-$D$6*(N15-G15), 0)</f>
        <v>9618.160294</v>
      </c>
      <c r="P15" s="62">
        <f>($D$2-$H$4+$D$4-12*$H$7-$H$8*E15+N15-B15+O15)*$D$3</f>
        <v>441433.071</v>
      </c>
      <c r="Q15" s="63">
        <f t="shared" ref="Q15:Q44" si="9">E15+P15-F15</f>
        <v>515156.4395</v>
      </c>
    </row>
    <row r="16">
      <c r="A16" s="64">
        <v>2.0</v>
      </c>
      <c r="B16" s="54">
        <f t="shared" ref="B16:B44" si="10">$D$8*$D$9^A15</f>
        <v>22763</v>
      </c>
      <c r="C16" s="54">
        <f t="shared" si="1"/>
        <v>45801.4</v>
      </c>
      <c r="D16" s="55">
        <f t="shared" ref="D16:D44" si="11">(D15+C16)*$D$3</f>
        <v>709976.74</v>
      </c>
      <c r="E16" s="56">
        <f t="shared" si="2"/>
        <v>1070000</v>
      </c>
      <c r="F16" s="54">
        <f t="shared" ref="F16:F44" si="12">(F15*$H$5-12*$H$7)</f>
        <v>914901.7974</v>
      </c>
      <c r="G16" s="57">
        <f t="shared" si="3"/>
        <v>61298.42043</v>
      </c>
      <c r="H16" s="54">
        <f t="shared" ref="H16:H44" si="13">(H15+$D$4*$D$5^(A16-1)-12*$H$7-$H$8*E16)*$D$3</f>
        <v>447251.3389</v>
      </c>
      <c r="I16" s="58">
        <f t="shared" si="4"/>
        <v>602349.5415</v>
      </c>
      <c r="J16" s="56">
        <f t="shared" ref="J16:J44" si="14">(J15+$D$4*$D$5^(A16-1)-12*$H$7-$H$8*E16-L15)*$D$3</f>
        <v>455052.5311</v>
      </c>
      <c r="K16" s="65">
        <f t="shared" ref="K16:K43" si="15">(K15-(K15/F16)*12*$H$7)*$H$5</f>
        <v>407004.2217</v>
      </c>
      <c r="L16" s="65">
        <f t="shared" si="5"/>
        <v>-6959.772191</v>
      </c>
      <c r="M16" s="66">
        <f t="shared" si="6"/>
        <v>610150.7336</v>
      </c>
      <c r="N16" s="56">
        <f t="shared" si="7"/>
        <v>30900</v>
      </c>
      <c r="O16" s="54">
        <f t="shared" si="8"/>
        <v>9119.526128</v>
      </c>
      <c r="P16" s="54">
        <f t="shared" ref="P16:P44" si="16">(P15+$D$4*$D$5^(A16-1)-12*$H$7-$H$8*E16+O16-B16+N16)*$D$3</f>
        <v>487430.4916</v>
      </c>
      <c r="Q16" s="63">
        <f t="shared" si="9"/>
        <v>642528.6942</v>
      </c>
    </row>
    <row r="17">
      <c r="A17" s="64">
        <v>3.0</v>
      </c>
      <c r="B17" s="54">
        <f t="shared" si="10"/>
        <v>23445.89</v>
      </c>
      <c r="C17" s="54">
        <f t="shared" si="1"/>
        <v>46489.798</v>
      </c>
      <c r="D17" s="55">
        <f t="shared" si="11"/>
        <v>832113.1918</v>
      </c>
      <c r="E17" s="56">
        <f t="shared" si="2"/>
        <v>1144900</v>
      </c>
      <c r="F17" s="54">
        <f t="shared" si="12"/>
        <v>902764.8494</v>
      </c>
      <c r="G17" s="57">
        <f t="shared" si="3"/>
        <v>60485.24491</v>
      </c>
      <c r="H17" s="54">
        <f t="shared" si="13"/>
        <v>475532.9243</v>
      </c>
      <c r="I17" s="58">
        <f t="shared" si="4"/>
        <v>717668.0749</v>
      </c>
      <c r="J17" s="56">
        <f t="shared" si="14"/>
        <v>491769.9851</v>
      </c>
      <c r="K17" s="65">
        <f t="shared" si="15"/>
        <v>398947.5447</v>
      </c>
      <c r="L17" s="65">
        <f t="shared" si="5"/>
        <v>-6822.003014</v>
      </c>
      <c r="M17" s="66">
        <f t="shared" si="6"/>
        <v>733905.1357</v>
      </c>
      <c r="N17" s="56">
        <f t="shared" si="7"/>
        <v>31827</v>
      </c>
      <c r="O17" s="54">
        <f t="shared" si="8"/>
        <v>8597.473473</v>
      </c>
      <c r="P17" s="54">
        <f t="shared" si="16"/>
        <v>538406.4341</v>
      </c>
      <c r="Q17" s="63">
        <f t="shared" si="9"/>
        <v>780541.5847</v>
      </c>
    </row>
    <row r="18">
      <c r="A18" s="64">
        <v>4.0</v>
      </c>
      <c r="B18" s="54">
        <f t="shared" si="10"/>
        <v>24149.2667</v>
      </c>
      <c r="C18" s="54">
        <f t="shared" si="1"/>
        <v>47185.13506</v>
      </c>
      <c r="D18" s="55">
        <f t="shared" si="11"/>
        <v>967228.1595</v>
      </c>
      <c r="E18" s="56">
        <f t="shared" si="2"/>
        <v>1225043</v>
      </c>
      <c r="F18" s="54">
        <f t="shared" si="12"/>
        <v>889814.7259</v>
      </c>
      <c r="G18" s="57">
        <f t="shared" si="3"/>
        <v>59617.58663</v>
      </c>
      <c r="H18" s="54">
        <f t="shared" si="13"/>
        <v>507299.6803</v>
      </c>
      <c r="I18" s="58">
        <f t="shared" si="4"/>
        <v>842527.9545</v>
      </c>
      <c r="J18" s="56">
        <f t="shared" si="14"/>
        <v>532664.6506</v>
      </c>
      <c r="K18" s="65">
        <f t="shared" si="15"/>
        <v>390546.4028</v>
      </c>
      <c r="L18" s="65">
        <f t="shared" si="5"/>
        <v>-6678.343489</v>
      </c>
      <c r="M18" s="66">
        <f t="shared" si="6"/>
        <v>867892.9247</v>
      </c>
      <c r="N18" s="56">
        <f t="shared" si="7"/>
        <v>32781.81</v>
      </c>
      <c r="O18" s="54">
        <f t="shared" si="8"/>
        <v>8050.73299</v>
      </c>
      <c r="P18" s="54">
        <f t="shared" si="16"/>
        <v>594812.145</v>
      </c>
      <c r="Q18" s="63">
        <f t="shared" si="9"/>
        <v>930040.4192</v>
      </c>
    </row>
    <row r="19">
      <c r="A19" s="64">
        <v>5.0</v>
      </c>
      <c r="B19" s="54">
        <f t="shared" si="10"/>
        <v>24873.7447</v>
      </c>
      <c r="C19" s="54">
        <f t="shared" si="1"/>
        <v>47887.34509</v>
      </c>
      <c r="D19" s="55">
        <f t="shared" si="11"/>
        <v>1116627.055</v>
      </c>
      <c r="E19" s="56">
        <f t="shared" si="2"/>
        <v>1310796.01</v>
      </c>
      <c r="F19" s="54">
        <f t="shared" si="12"/>
        <v>875996.944</v>
      </c>
      <c r="G19" s="57">
        <f t="shared" si="3"/>
        <v>58691.79525</v>
      </c>
      <c r="H19" s="54">
        <f t="shared" si="13"/>
        <v>542869.1857</v>
      </c>
      <c r="I19" s="58">
        <f t="shared" si="4"/>
        <v>977668.2517</v>
      </c>
      <c r="J19" s="56">
        <f t="shared" si="14"/>
        <v>578116.8308</v>
      </c>
      <c r="K19" s="65">
        <f t="shared" si="15"/>
        <v>381779.701</v>
      </c>
      <c r="L19" s="65">
        <f t="shared" si="5"/>
        <v>-6528.432887</v>
      </c>
      <c r="M19" s="66">
        <f t="shared" si="6"/>
        <v>1012915.897</v>
      </c>
      <c r="N19" s="56">
        <f t="shared" si="7"/>
        <v>33765.2643</v>
      </c>
      <c r="O19" s="54">
        <f t="shared" si="8"/>
        <v>7477.959285</v>
      </c>
      <c r="P19" s="54">
        <f t="shared" si="16"/>
        <v>657139.3237</v>
      </c>
      <c r="Q19" s="63">
        <f t="shared" si="9"/>
        <v>1091938.39</v>
      </c>
    </row>
    <row r="20">
      <c r="A20" s="64">
        <v>6.0</v>
      </c>
      <c r="B20" s="54">
        <f t="shared" si="10"/>
        <v>25619.95704</v>
      </c>
      <c r="C20" s="54">
        <f t="shared" si="1"/>
        <v>48596.35455</v>
      </c>
      <c r="D20" s="55">
        <f t="shared" si="11"/>
        <v>1281745.751</v>
      </c>
      <c r="E20" s="56">
        <f t="shared" si="2"/>
        <v>1402551.731</v>
      </c>
      <c r="F20" s="54">
        <f t="shared" si="12"/>
        <v>861253.3708</v>
      </c>
      <c r="G20" s="57">
        <f t="shared" si="3"/>
        <v>57703.97585</v>
      </c>
      <c r="H20" s="54">
        <f t="shared" si="13"/>
        <v>582587.0727</v>
      </c>
      <c r="I20" s="58">
        <f t="shared" si="4"/>
        <v>1123885.433</v>
      </c>
      <c r="J20" s="56">
        <f t="shared" si="14"/>
        <v>628540.7585</v>
      </c>
      <c r="K20" s="65">
        <f t="shared" si="15"/>
        <v>372625.1971</v>
      </c>
      <c r="L20" s="65">
        <f t="shared" si="5"/>
        <v>-6371.890871</v>
      </c>
      <c r="M20" s="66">
        <f t="shared" si="6"/>
        <v>1169839.118</v>
      </c>
      <c r="N20" s="56">
        <f t="shared" si="7"/>
        <v>34778.22223</v>
      </c>
      <c r="O20" s="54">
        <f t="shared" si="8"/>
        <v>6877.726085</v>
      </c>
      <c r="P20" s="54">
        <f t="shared" si="16"/>
        <v>725923.8149</v>
      </c>
      <c r="Q20" s="63">
        <f t="shared" si="9"/>
        <v>1267222.175</v>
      </c>
    </row>
    <row r="21">
      <c r="A21" s="64">
        <v>7.0</v>
      </c>
      <c r="B21" s="54">
        <f t="shared" si="10"/>
        <v>26388.55575</v>
      </c>
      <c r="C21" s="54">
        <f t="shared" si="1"/>
        <v>49312.08207</v>
      </c>
      <c r="D21" s="55">
        <f t="shared" si="11"/>
        <v>1464163.616</v>
      </c>
      <c r="E21" s="56">
        <f t="shared" si="2"/>
        <v>1500730.352</v>
      </c>
      <c r="F21" s="54">
        <f t="shared" si="12"/>
        <v>845521.9782</v>
      </c>
      <c r="G21" s="57">
        <f t="shared" si="3"/>
        <v>56649.97254</v>
      </c>
      <c r="H21" s="54">
        <f t="shared" si="13"/>
        <v>626829.5425</v>
      </c>
      <c r="I21" s="58">
        <f t="shared" si="4"/>
        <v>1282037.916</v>
      </c>
      <c r="J21" s="56">
        <f t="shared" si="14"/>
        <v>684387.6767</v>
      </c>
      <c r="K21" s="65">
        <f t="shared" si="15"/>
        <v>363059.4604</v>
      </c>
      <c r="L21" s="65">
        <f t="shared" si="5"/>
        <v>-6208.316773</v>
      </c>
      <c r="M21" s="66">
        <f t="shared" si="6"/>
        <v>1339596.05</v>
      </c>
      <c r="N21" s="56">
        <f t="shared" si="7"/>
        <v>35821.5689</v>
      </c>
      <c r="O21" s="54">
        <f t="shared" si="8"/>
        <v>6248.521094</v>
      </c>
      <c r="P21" s="54">
        <f t="shared" si="16"/>
        <v>801749.6464</v>
      </c>
      <c r="Q21" s="63">
        <f t="shared" si="9"/>
        <v>1456958.02</v>
      </c>
    </row>
    <row r="22">
      <c r="A22" s="64">
        <v>8.0</v>
      </c>
      <c r="B22" s="54">
        <f t="shared" si="10"/>
        <v>27180.21243</v>
      </c>
      <c r="C22" s="54">
        <f t="shared" si="1"/>
        <v>50034.43815</v>
      </c>
      <c r="D22" s="55">
        <f t="shared" si="11"/>
        <v>1665617.86</v>
      </c>
      <c r="E22" s="56">
        <f t="shared" si="2"/>
        <v>1605781.476</v>
      </c>
      <c r="F22" s="54">
        <f t="shared" si="12"/>
        <v>828736.5823</v>
      </c>
      <c r="G22" s="57">
        <f t="shared" si="3"/>
        <v>55525.35102</v>
      </c>
      <c r="H22" s="54">
        <f t="shared" si="13"/>
        <v>676006.1108</v>
      </c>
      <c r="I22" s="58">
        <f t="shared" si="4"/>
        <v>1453051.005</v>
      </c>
      <c r="J22" s="56">
        <f t="shared" si="14"/>
        <v>746149.207</v>
      </c>
      <c r="K22" s="65">
        <f t="shared" si="15"/>
        <v>353057.8319</v>
      </c>
      <c r="L22" s="65">
        <f t="shared" si="5"/>
        <v>-6037.288926</v>
      </c>
      <c r="M22" s="66">
        <f t="shared" si="6"/>
        <v>1523194.101</v>
      </c>
      <c r="N22" s="56">
        <f t="shared" si="7"/>
        <v>36896.21596</v>
      </c>
      <c r="O22" s="54">
        <f t="shared" si="8"/>
        <v>5588.740516</v>
      </c>
      <c r="P22" s="54">
        <f t="shared" si="16"/>
        <v>885253.4436</v>
      </c>
      <c r="Q22" s="63">
        <f t="shared" si="9"/>
        <v>1662298.338</v>
      </c>
    </row>
    <row r="23">
      <c r="A23" s="64">
        <v>9.0</v>
      </c>
      <c r="B23" s="54">
        <f t="shared" si="10"/>
        <v>27995.6188</v>
      </c>
      <c r="C23" s="54">
        <f t="shared" si="1"/>
        <v>50763.32479</v>
      </c>
      <c r="D23" s="55">
        <f t="shared" si="11"/>
        <v>1888019.303</v>
      </c>
      <c r="E23" s="56">
        <f t="shared" si="2"/>
        <v>1718186.18</v>
      </c>
      <c r="F23" s="54">
        <f t="shared" si="12"/>
        <v>810826.5649</v>
      </c>
      <c r="G23" s="57">
        <f t="shared" si="3"/>
        <v>54325.37985</v>
      </c>
      <c r="H23" s="54">
        <f t="shared" si="13"/>
        <v>730562.6066</v>
      </c>
      <c r="I23" s="58">
        <f t="shared" si="4"/>
        <v>1637922.222</v>
      </c>
      <c r="J23" s="56">
        <f t="shared" si="14"/>
        <v>814361.0302</v>
      </c>
      <c r="K23" s="65">
        <f t="shared" si="15"/>
        <v>342594.3913</v>
      </c>
      <c r="L23" s="65">
        <f t="shared" si="5"/>
        <v>-5858.364092</v>
      </c>
      <c r="M23" s="66">
        <f t="shared" si="6"/>
        <v>1721720.645</v>
      </c>
      <c r="N23" s="56">
        <f t="shared" si="7"/>
        <v>38003.10244</v>
      </c>
      <c r="O23" s="54">
        <f t="shared" si="8"/>
        <v>4896.683222</v>
      </c>
      <c r="P23" s="54">
        <f t="shared" si="16"/>
        <v>977129.2562</v>
      </c>
      <c r="Q23" s="63">
        <f t="shared" si="9"/>
        <v>1884488.871</v>
      </c>
    </row>
    <row r="24">
      <c r="A24" s="64">
        <v>10.0</v>
      </c>
      <c r="B24" s="54">
        <f t="shared" si="10"/>
        <v>28835.48736</v>
      </c>
      <c r="C24" s="54">
        <f t="shared" si="1"/>
        <v>51498.6351</v>
      </c>
      <c r="D24" s="55">
        <f t="shared" si="11"/>
        <v>2133469.732</v>
      </c>
      <c r="E24" s="56">
        <f t="shared" si="2"/>
        <v>1838459.212</v>
      </c>
      <c r="F24" s="54">
        <f t="shared" si="12"/>
        <v>791716.5763</v>
      </c>
      <c r="G24" s="57">
        <f t="shared" si="3"/>
        <v>53045.01061</v>
      </c>
      <c r="H24" s="54">
        <f t="shared" si="13"/>
        <v>790984.4453</v>
      </c>
      <c r="I24" s="58">
        <f t="shared" si="4"/>
        <v>1837727.081</v>
      </c>
      <c r="J24" s="56">
        <f t="shared" si="14"/>
        <v>889606.9117</v>
      </c>
      <c r="K24" s="65">
        <f t="shared" si="15"/>
        <v>331641.9305</v>
      </c>
      <c r="L24" s="65">
        <f t="shared" si="5"/>
        <v>-5671.077012</v>
      </c>
      <c r="M24" s="66">
        <f t="shared" si="6"/>
        <v>1936349.548</v>
      </c>
      <c r="N24" s="56">
        <f t="shared" si="7"/>
        <v>39143.19551</v>
      </c>
      <c r="O24" s="54">
        <f t="shared" si="8"/>
        <v>4170.544529</v>
      </c>
      <c r="P24" s="54">
        <f t="shared" si="16"/>
        <v>1078133.838</v>
      </c>
      <c r="Q24" s="63">
        <f t="shared" si="9"/>
        <v>2124876.474</v>
      </c>
    </row>
    <row r="25">
      <c r="A25" s="64">
        <v>11.0</v>
      </c>
      <c r="B25" s="54">
        <f t="shared" si="10"/>
        <v>29700.55198</v>
      </c>
      <c r="C25" s="54">
        <f t="shared" si="1"/>
        <v>52240.25293</v>
      </c>
      <c r="D25" s="55">
        <f t="shared" si="11"/>
        <v>2404280.983</v>
      </c>
      <c r="E25" s="56">
        <f t="shared" si="2"/>
        <v>1967151.357</v>
      </c>
      <c r="F25" s="54">
        <f t="shared" si="12"/>
        <v>771326.2184</v>
      </c>
      <c r="G25" s="57">
        <f t="shared" si="3"/>
        <v>51678.85664</v>
      </c>
      <c r="H25" s="54">
        <f t="shared" si="13"/>
        <v>857800.205</v>
      </c>
      <c r="I25" s="58">
        <f t="shared" si="4"/>
        <v>2053625.344</v>
      </c>
      <c r="J25" s="56">
        <f t="shared" si="14"/>
        <v>972523.1028</v>
      </c>
      <c r="K25" s="65">
        <f t="shared" si="15"/>
        <v>320171.9377</v>
      </c>
      <c r="L25" s="65">
        <f t="shared" si="5"/>
        <v>-5474.940135</v>
      </c>
      <c r="M25" s="66">
        <f t="shared" si="6"/>
        <v>2168348.242</v>
      </c>
      <c r="N25" s="56">
        <f t="shared" si="7"/>
        <v>40317.49138</v>
      </c>
      <c r="O25" s="54">
        <f t="shared" si="8"/>
        <v>3408.409577</v>
      </c>
      <c r="P25" s="54">
        <f t="shared" si="16"/>
        <v>1189092.421</v>
      </c>
      <c r="Q25" s="63">
        <f t="shared" si="9"/>
        <v>2384917.56</v>
      </c>
    </row>
    <row r="26">
      <c r="A26" s="64">
        <v>12.0</v>
      </c>
      <c r="B26" s="54">
        <f t="shared" si="10"/>
        <v>30591.56854</v>
      </c>
      <c r="C26" s="54">
        <f t="shared" si="1"/>
        <v>52988.05247</v>
      </c>
      <c r="D26" s="55">
        <f t="shared" si="11"/>
        <v>2702995.939</v>
      </c>
      <c r="E26" s="56">
        <f t="shared" si="2"/>
        <v>2104851.952</v>
      </c>
      <c r="F26" s="54">
        <f t="shared" si="12"/>
        <v>749569.7066</v>
      </c>
      <c r="G26" s="57">
        <f t="shared" si="3"/>
        <v>50221.17034</v>
      </c>
      <c r="H26" s="54">
        <f t="shared" si="13"/>
        <v>931585.5318</v>
      </c>
      <c r="I26" s="58">
        <f t="shared" si="4"/>
        <v>2286867.778</v>
      </c>
      <c r="J26" s="56">
        <f t="shared" si="14"/>
        <v>1063803.154</v>
      </c>
      <c r="K26" s="65">
        <f t="shared" si="15"/>
        <v>308154.5964</v>
      </c>
      <c r="L26" s="65">
        <f t="shared" si="5"/>
        <v>-5269.443598</v>
      </c>
      <c r="M26" s="66">
        <f t="shared" si="6"/>
        <v>2419085.399</v>
      </c>
      <c r="N26" s="56">
        <f t="shared" si="7"/>
        <v>41527.01612</v>
      </c>
      <c r="O26" s="54">
        <f t="shared" si="8"/>
        <v>2608.246267</v>
      </c>
      <c r="P26" s="54">
        <f t="shared" si="16"/>
        <v>1310905.032</v>
      </c>
      <c r="Q26" s="63">
        <f t="shared" si="9"/>
        <v>2666187.278</v>
      </c>
    </row>
    <row r="27">
      <c r="A27" s="64">
        <v>13.0</v>
      </c>
      <c r="B27" s="54">
        <f t="shared" si="10"/>
        <v>31509.3156</v>
      </c>
      <c r="C27" s="54">
        <f t="shared" si="1"/>
        <v>53741.89783</v>
      </c>
      <c r="D27" s="55">
        <f t="shared" si="11"/>
        <v>3032411.621</v>
      </c>
      <c r="E27" s="56">
        <f t="shared" si="2"/>
        <v>2252191.589</v>
      </c>
      <c r="F27" s="54">
        <f t="shared" si="12"/>
        <v>726355.5085</v>
      </c>
      <c r="G27" s="57">
        <f t="shared" si="3"/>
        <v>48665.81907</v>
      </c>
      <c r="H27" s="54">
        <f t="shared" si="13"/>
        <v>1012967.407</v>
      </c>
      <c r="I27" s="58">
        <f t="shared" si="4"/>
        <v>2538803.487</v>
      </c>
      <c r="J27" s="56">
        <f t="shared" si="14"/>
        <v>1164203.179</v>
      </c>
      <c r="K27" s="65">
        <f t="shared" si="15"/>
        <v>295558.8037</v>
      </c>
      <c r="L27" s="65">
        <f t="shared" si="5"/>
        <v>-5054.055543</v>
      </c>
      <c r="M27" s="66">
        <f t="shared" si="6"/>
        <v>2690039.259</v>
      </c>
      <c r="N27" s="56">
        <f t="shared" si="7"/>
        <v>42772.82661</v>
      </c>
      <c r="O27" s="54">
        <f t="shared" si="8"/>
        <v>1767.89774</v>
      </c>
      <c r="P27" s="54">
        <f t="shared" si="16"/>
        <v>1444553.407</v>
      </c>
      <c r="Q27" s="63">
        <f t="shared" si="9"/>
        <v>2970389.488</v>
      </c>
    </row>
    <row r="28">
      <c r="A28" s="64">
        <v>14.0</v>
      </c>
      <c r="B28" s="54">
        <f t="shared" si="10"/>
        <v>32454.59507</v>
      </c>
      <c r="C28" s="54">
        <f t="shared" si="1"/>
        <v>54501.64263</v>
      </c>
      <c r="D28" s="55">
        <f t="shared" si="11"/>
        <v>3395604.589</v>
      </c>
      <c r="E28" s="56">
        <f t="shared" si="2"/>
        <v>2409845</v>
      </c>
      <c r="F28" s="54">
        <f t="shared" si="12"/>
        <v>701585.9592</v>
      </c>
      <c r="G28" s="57">
        <f t="shared" si="3"/>
        <v>47006.25926</v>
      </c>
      <c r="H28" s="54">
        <f t="shared" si="13"/>
        <v>1102628.809</v>
      </c>
      <c r="I28" s="58">
        <f t="shared" si="4"/>
        <v>2810887.85</v>
      </c>
      <c r="J28" s="56">
        <f t="shared" si="14"/>
        <v>1274547.619</v>
      </c>
      <c r="K28" s="65">
        <f t="shared" si="15"/>
        <v>282352.2176</v>
      </c>
      <c r="L28" s="65">
        <f t="shared" si="5"/>
        <v>-4828.222921</v>
      </c>
      <c r="M28" s="66">
        <f t="shared" si="6"/>
        <v>2982806.66</v>
      </c>
      <c r="N28" s="56">
        <f t="shared" si="7"/>
        <v>44056.0114</v>
      </c>
      <c r="O28" s="54">
        <f t="shared" si="8"/>
        <v>885.0743579</v>
      </c>
      <c r="P28" s="54">
        <f t="shared" si="16"/>
        <v>1591108.549</v>
      </c>
      <c r="Q28" s="63">
        <f t="shared" si="9"/>
        <v>3299367.59</v>
      </c>
    </row>
    <row r="29">
      <c r="A29" s="64">
        <v>15.0</v>
      </c>
      <c r="B29" s="54">
        <f t="shared" si="10"/>
        <v>33428.23292</v>
      </c>
      <c r="C29" s="54">
        <f t="shared" si="1"/>
        <v>55267.12953</v>
      </c>
      <c r="D29" s="55">
        <f t="shared" si="11"/>
        <v>3795958.891</v>
      </c>
      <c r="E29" s="56">
        <f t="shared" si="2"/>
        <v>2578534.15</v>
      </c>
      <c r="F29" s="54">
        <f t="shared" si="12"/>
        <v>675156.85</v>
      </c>
      <c r="G29" s="57">
        <f t="shared" si="3"/>
        <v>45235.50895</v>
      </c>
      <c r="H29" s="54">
        <f t="shared" si="13"/>
        <v>1201313.808</v>
      </c>
      <c r="I29" s="58">
        <f t="shared" si="4"/>
        <v>3104691.108</v>
      </c>
      <c r="J29" s="56">
        <f t="shared" si="14"/>
        <v>1395735.544</v>
      </c>
      <c r="K29" s="65">
        <f t="shared" si="15"/>
        <v>268501.3418</v>
      </c>
      <c r="L29" s="65">
        <f t="shared" si="5"/>
        <v>-4591.372945</v>
      </c>
      <c r="M29" s="66">
        <f t="shared" si="6"/>
        <v>3299112.844</v>
      </c>
      <c r="N29" s="56">
        <f t="shared" si="7"/>
        <v>45377.69175</v>
      </c>
      <c r="O29" s="67">
        <f t="shared" si="8"/>
        <v>0</v>
      </c>
      <c r="P29" s="54">
        <f t="shared" si="16"/>
        <v>1751785.926</v>
      </c>
      <c r="Q29" s="63">
        <f t="shared" si="9"/>
        <v>3655163.226</v>
      </c>
    </row>
    <row r="30">
      <c r="A30" s="64">
        <v>16.0</v>
      </c>
      <c r="B30" s="54">
        <f t="shared" si="10"/>
        <v>34431.07991</v>
      </c>
      <c r="C30" s="54">
        <f t="shared" si="1"/>
        <v>56038.1898</v>
      </c>
      <c r="D30" s="55">
        <f t="shared" si="11"/>
        <v>4237196.789</v>
      </c>
      <c r="E30" s="56">
        <f t="shared" si="2"/>
        <v>2759031.541</v>
      </c>
      <c r="F30" s="54">
        <f t="shared" si="12"/>
        <v>646956.9905</v>
      </c>
      <c r="G30" s="57">
        <f t="shared" si="3"/>
        <v>43346.11836</v>
      </c>
      <c r="H30" s="54">
        <f t="shared" si="13"/>
        <v>1309833.133</v>
      </c>
      <c r="I30" s="58">
        <f t="shared" si="4"/>
        <v>3421907.683</v>
      </c>
      <c r="J30" s="56">
        <f t="shared" si="14"/>
        <v>1528747.553</v>
      </c>
      <c r="K30" s="65">
        <f t="shared" si="15"/>
        <v>253971.6647</v>
      </c>
      <c r="L30" s="65">
        <f t="shared" si="5"/>
        <v>-4342.915466</v>
      </c>
      <c r="M30" s="66">
        <f t="shared" si="6"/>
        <v>3640822.103</v>
      </c>
      <c r="N30" s="56">
        <f t="shared" si="7"/>
        <v>46739.0225</v>
      </c>
      <c r="O30" s="67">
        <f t="shared" si="8"/>
        <v>0</v>
      </c>
      <c r="P30" s="54">
        <f t="shared" si="16"/>
        <v>1928891.2</v>
      </c>
      <c r="Q30" s="63">
        <f t="shared" si="9"/>
        <v>4040965.75</v>
      </c>
    </row>
    <row r="31">
      <c r="A31" s="64">
        <v>17.0</v>
      </c>
      <c r="B31" s="54">
        <f t="shared" si="10"/>
        <v>35464.0123</v>
      </c>
      <c r="C31" s="54">
        <f t="shared" si="1"/>
        <v>56814.64279</v>
      </c>
      <c r="D31" s="55">
        <f t="shared" si="11"/>
        <v>4723412.575</v>
      </c>
      <c r="E31" s="56">
        <f t="shared" si="2"/>
        <v>2952163.749</v>
      </c>
      <c r="F31" s="54">
        <f t="shared" si="12"/>
        <v>616867.7404</v>
      </c>
      <c r="G31" s="57">
        <f t="shared" si="3"/>
        <v>41330.13861</v>
      </c>
      <c r="H31" s="54">
        <f t="shared" si="13"/>
        <v>1429070.26</v>
      </c>
      <c r="I31" s="58">
        <f t="shared" si="4"/>
        <v>3764366.268</v>
      </c>
      <c r="J31" s="56">
        <f t="shared" si="14"/>
        <v>1674653.329</v>
      </c>
      <c r="K31" s="65">
        <f t="shared" si="15"/>
        <v>238727.8746</v>
      </c>
      <c r="L31" s="65">
        <f t="shared" si="5"/>
        <v>-4082.246655</v>
      </c>
      <c r="M31" s="66">
        <f t="shared" si="6"/>
        <v>4009949.338</v>
      </c>
      <c r="N31" s="56">
        <f t="shared" si="7"/>
        <v>48141.19317</v>
      </c>
      <c r="O31" s="67">
        <f t="shared" si="8"/>
        <v>0</v>
      </c>
      <c r="P31" s="54">
        <f t="shared" si="16"/>
        <v>2123979.033</v>
      </c>
      <c r="Q31" s="63">
        <f t="shared" si="9"/>
        <v>4459275.041</v>
      </c>
    </row>
    <row r="32">
      <c r="A32" s="64">
        <v>18.0</v>
      </c>
      <c r="B32" s="54">
        <f t="shared" si="10"/>
        <v>36527.93267</v>
      </c>
      <c r="C32" s="54">
        <f t="shared" si="1"/>
        <v>57596.29552</v>
      </c>
      <c r="D32" s="55">
        <f t="shared" si="11"/>
        <v>5259109.757</v>
      </c>
      <c r="E32" s="56">
        <f t="shared" si="2"/>
        <v>3158815.211</v>
      </c>
      <c r="F32" s="54">
        <f t="shared" si="12"/>
        <v>584762.5105</v>
      </c>
      <c r="G32" s="57">
        <f t="shared" si="3"/>
        <v>39179.08821</v>
      </c>
      <c r="H32" s="54">
        <f t="shared" si="13"/>
        <v>1559988.064</v>
      </c>
      <c r="I32" s="58">
        <f t="shared" si="4"/>
        <v>4134040.765</v>
      </c>
      <c r="J32" s="56">
        <f t="shared" si="14"/>
        <v>1834619.912</v>
      </c>
      <c r="K32" s="65">
        <f t="shared" si="15"/>
        <v>222734.184</v>
      </c>
      <c r="L32" s="65">
        <f t="shared" si="5"/>
        <v>-3808.754547</v>
      </c>
      <c r="M32" s="66">
        <f t="shared" si="6"/>
        <v>4408672.612</v>
      </c>
      <c r="N32" s="56">
        <f t="shared" si="7"/>
        <v>49585.42897</v>
      </c>
      <c r="O32" s="67">
        <f t="shared" si="8"/>
        <v>0</v>
      </c>
      <c r="P32" s="54">
        <f t="shared" si="16"/>
        <v>2338750.961</v>
      </c>
      <c r="Q32" s="63">
        <f t="shared" si="9"/>
        <v>4912803.661</v>
      </c>
    </row>
    <row r="33">
      <c r="A33" s="64">
        <v>19.0</v>
      </c>
      <c r="B33" s="54">
        <f t="shared" si="10"/>
        <v>37623.77065</v>
      </c>
      <c r="C33" s="54">
        <f t="shared" si="1"/>
        <v>58382.94211</v>
      </c>
      <c r="D33" s="55">
        <f t="shared" si="11"/>
        <v>5849241.969</v>
      </c>
      <c r="E33" s="56">
        <f t="shared" si="2"/>
        <v>3379932.276</v>
      </c>
      <c r="F33" s="54">
        <f t="shared" si="12"/>
        <v>550506.2303</v>
      </c>
      <c r="G33" s="57">
        <f t="shared" si="3"/>
        <v>36883.91743</v>
      </c>
      <c r="H33" s="54">
        <f t="shared" si="13"/>
        <v>1703636.095</v>
      </c>
      <c r="I33" s="58">
        <f t="shared" si="4"/>
        <v>4533062.14</v>
      </c>
      <c r="J33" s="56">
        <f t="shared" si="14"/>
        <v>2009920.757</v>
      </c>
      <c r="K33" s="65">
        <f t="shared" si="15"/>
        <v>205954.8143</v>
      </c>
      <c r="L33" s="65">
        <f t="shared" si="5"/>
        <v>-3521.827324</v>
      </c>
      <c r="M33" s="66">
        <f t="shared" si="6"/>
        <v>4839346.802</v>
      </c>
      <c r="N33" s="56">
        <f t="shared" si="7"/>
        <v>51072.99184</v>
      </c>
      <c r="O33" s="67">
        <f t="shared" si="8"/>
        <v>0</v>
      </c>
      <c r="P33" s="54">
        <f t="shared" si="16"/>
        <v>2575069.424</v>
      </c>
      <c r="Q33" s="63">
        <f t="shared" si="9"/>
        <v>5404495.469</v>
      </c>
    </row>
    <row r="34">
      <c r="A34" s="64">
        <v>20.0</v>
      </c>
      <c r="B34" s="54">
        <f t="shared" si="10"/>
        <v>38752.48377</v>
      </c>
      <c r="C34" s="54">
        <f t="shared" si="1"/>
        <v>59174.36324</v>
      </c>
      <c r="D34" s="55">
        <f t="shared" si="11"/>
        <v>6499257.966</v>
      </c>
      <c r="E34" s="56">
        <f t="shared" si="2"/>
        <v>3616527.535</v>
      </c>
      <c r="F34" s="54">
        <f t="shared" si="12"/>
        <v>513954.7793</v>
      </c>
      <c r="G34" s="57">
        <f t="shared" si="3"/>
        <v>34434.97021</v>
      </c>
      <c r="H34" s="54">
        <f t="shared" si="13"/>
        <v>1861158.528</v>
      </c>
      <c r="I34" s="58">
        <f t="shared" si="4"/>
        <v>4963731.283</v>
      </c>
      <c r="J34" s="56">
        <f t="shared" si="14"/>
        <v>2201945.666</v>
      </c>
      <c r="K34" s="65">
        <f t="shared" si="15"/>
        <v>188354.7203</v>
      </c>
      <c r="L34" s="65">
        <f t="shared" si="5"/>
        <v>-3220.865717</v>
      </c>
      <c r="M34" s="66">
        <f t="shared" si="6"/>
        <v>5304518.422</v>
      </c>
      <c r="N34" s="56">
        <f t="shared" si="7"/>
        <v>52605.18159</v>
      </c>
      <c r="O34" s="67">
        <f t="shared" si="8"/>
        <v>0</v>
      </c>
      <c r="P34" s="54">
        <f t="shared" si="16"/>
        <v>2834973.157</v>
      </c>
      <c r="Q34" s="63">
        <f t="shared" si="9"/>
        <v>5937545.913</v>
      </c>
    </row>
    <row r="35">
      <c r="A35" s="64">
        <v>21.0</v>
      </c>
      <c r="B35" s="54">
        <f t="shared" si="10"/>
        <v>39915.05829</v>
      </c>
      <c r="C35" s="54">
        <f t="shared" si="1"/>
        <v>59970.32567</v>
      </c>
      <c r="D35" s="55">
        <f t="shared" si="11"/>
        <v>7215151.121</v>
      </c>
      <c r="E35" s="56">
        <f t="shared" si="2"/>
        <v>3869684.462</v>
      </c>
      <c r="F35" s="54">
        <f t="shared" si="12"/>
        <v>474954.381</v>
      </c>
      <c r="G35" s="57">
        <f t="shared" si="3"/>
        <v>31821.94353</v>
      </c>
      <c r="H35" s="54">
        <f t="shared" si="13"/>
        <v>2033802.868</v>
      </c>
      <c r="I35" s="58">
        <f t="shared" si="4"/>
        <v>5428532.95</v>
      </c>
      <c r="J35" s="56">
        <f t="shared" si="14"/>
        <v>2412211.673</v>
      </c>
      <c r="K35" s="65">
        <f t="shared" si="15"/>
        <v>169900.6907</v>
      </c>
      <c r="L35" s="65">
        <f t="shared" si="5"/>
        <v>-2905.301811</v>
      </c>
      <c r="M35" s="66">
        <f t="shared" si="6"/>
        <v>5806941.755</v>
      </c>
      <c r="N35" s="56">
        <f t="shared" si="7"/>
        <v>54183.33704</v>
      </c>
      <c r="O35" s="67">
        <f t="shared" si="8"/>
        <v>0</v>
      </c>
      <c r="P35" s="54">
        <f t="shared" si="16"/>
        <v>3120694.068</v>
      </c>
      <c r="Q35" s="63">
        <f t="shared" si="9"/>
        <v>6515424.149</v>
      </c>
    </row>
    <row r="36">
      <c r="A36" s="64">
        <v>22.0</v>
      </c>
      <c r="B36" s="54">
        <f t="shared" si="10"/>
        <v>41112.51003</v>
      </c>
      <c r="C36" s="54">
        <f t="shared" si="1"/>
        <v>60770.5816</v>
      </c>
      <c r="D36" s="55">
        <f t="shared" si="11"/>
        <v>8003513.873</v>
      </c>
      <c r="E36" s="56">
        <f t="shared" si="2"/>
        <v>4140562.375</v>
      </c>
      <c r="F36" s="54">
        <f t="shared" si="12"/>
        <v>433340.9561</v>
      </c>
      <c r="G36" s="57">
        <f t="shared" si="3"/>
        <v>29033.84406</v>
      </c>
      <c r="H36" s="54">
        <f t="shared" si="13"/>
        <v>2222929.465</v>
      </c>
      <c r="I36" s="58">
        <f t="shared" si="4"/>
        <v>5930150.883</v>
      </c>
      <c r="J36" s="56">
        <f t="shared" si="14"/>
        <v>2642374.982</v>
      </c>
      <c r="K36" s="65">
        <f t="shared" si="15"/>
        <v>150563.0542</v>
      </c>
      <c r="L36" s="65">
        <f t="shared" si="5"/>
        <v>-2574.628227</v>
      </c>
      <c r="M36" s="66">
        <f t="shared" si="6"/>
        <v>6349596.401</v>
      </c>
      <c r="N36" s="56">
        <f t="shared" si="7"/>
        <v>55808.83715</v>
      </c>
      <c r="O36" s="67">
        <f t="shared" si="8"/>
        <v>0</v>
      </c>
      <c r="P36" s="54">
        <f t="shared" si="16"/>
        <v>3434675.744</v>
      </c>
      <c r="Q36" s="63">
        <f t="shared" si="9"/>
        <v>7141897.163</v>
      </c>
    </row>
    <row r="37">
      <c r="A37" s="64">
        <v>23.0</v>
      </c>
      <c r="B37" s="54">
        <f t="shared" si="10"/>
        <v>42345.88534</v>
      </c>
      <c r="C37" s="54">
        <f t="shared" si="1"/>
        <v>61574.86813</v>
      </c>
      <c r="D37" s="55">
        <f t="shared" si="11"/>
        <v>8871597.615</v>
      </c>
      <c r="E37" s="56">
        <f t="shared" si="2"/>
        <v>4430401.741</v>
      </c>
      <c r="F37" s="54">
        <f t="shared" si="12"/>
        <v>388939.4317</v>
      </c>
      <c r="G37" s="57">
        <f t="shared" si="3"/>
        <v>26058.94192</v>
      </c>
      <c r="H37" s="54">
        <f t="shared" si="13"/>
        <v>2430021.915</v>
      </c>
      <c r="I37" s="58">
        <f t="shared" si="4"/>
        <v>6471484.225</v>
      </c>
      <c r="J37" s="56">
        <f t="shared" si="14"/>
        <v>2894244.075</v>
      </c>
      <c r="K37" s="65">
        <f t="shared" si="15"/>
        <v>130318.4233</v>
      </c>
      <c r="L37" s="65">
        <f t="shared" si="5"/>
        <v>-2228.445038</v>
      </c>
      <c r="M37" s="66">
        <f t="shared" si="6"/>
        <v>6935706.385</v>
      </c>
      <c r="N37" s="56">
        <f t="shared" si="7"/>
        <v>57483.10227</v>
      </c>
      <c r="O37" s="67">
        <f t="shared" si="8"/>
        <v>0</v>
      </c>
      <c r="P37" s="54">
        <f t="shared" si="16"/>
        <v>3779593.761</v>
      </c>
      <c r="Q37" s="63">
        <f t="shared" si="9"/>
        <v>7821056.071</v>
      </c>
    </row>
    <row r="38">
      <c r="A38" s="64">
        <v>24.0</v>
      </c>
      <c r="B38" s="54">
        <f t="shared" si="10"/>
        <v>43616.2619</v>
      </c>
      <c r="C38" s="54">
        <f t="shared" si="1"/>
        <v>62382.90664</v>
      </c>
      <c r="D38" s="55">
        <f t="shared" si="11"/>
        <v>9827378.573</v>
      </c>
      <c r="E38" s="56">
        <f t="shared" si="2"/>
        <v>4740529.863</v>
      </c>
      <c r="F38" s="54">
        <f t="shared" si="12"/>
        <v>341563.0052</v>
      </c>
      <c r="G38" s="57">
        <f t="shared" si="3"/>
        <v>22884.72135</v>
      </c>
      <c r="H38" s="54">
        <f t="shared" si="13"/>
        <v>2656698.459</v>
      </c>
      <c r="I38" s="58">
        <f t="shared" si="4"/>
        <v>7055665.316</v>
      </c>
      <c r="J38" s="56">
        <f t="shared" si="14"/>
        <v>3169794.124</v>
      </c>
      <c r="K38" s="65">
        <f t="shared" si="15"/>
        <v>109154.3356</v>
      </c>
      <c r="L38" s="65">
        <f t="shared" si="5"/>
        <v>-1866.539139</v>
      </c>
      <c r="M38" s="66">
        <f t="shared" si="6"/>
        <v>7568760.982</v>
      </c>
      <c r="N38" s="56">
        <f t="shared" si="7"/>
        <v>59207.59533</v>
      </c>
      <c r="O38" s="67">
        <f t="shared" si="8"/>
        <v>0</v>
      </c>
      <c r="P38" s="54">
        <f t="shared" si="16"/>
        <v>4158377.956</v>
      </c>
      <c r="Q38" s="63">
        <f t="shared" si="9"/>
        <v>8557344.813</v>
      </c>
    </row>
    <row r="39">
      <c r="A39" s="64">
        <v>25.0</v>
      </c>
      <c r="B39" s="54">
        <f t="shared" si="10"/>
        <v>44924.74975</v>
      </c>
      <c r="C39" s="54">
        <f t="shared" si="1"/>
        <v>63194.40216</v>
      </c>
      <c r="D39" s="55">
        <f t="shared" si="11"/>
        <v>10879630.27</v>
      </c>
      <c r="E39" s="56">
        <f t="shared" si="2"/>
        <v>5072366.953</v>
      </c>
      <c r="F39" s="54">
        <f t="shared" si="12"/>
        <v>291012.3581</v>
      </c>
      <c r="G39" s="57">
        <f t="shared" si="3"/>
        <v>19497.82799</v>
      </c>
      <c r="H39" s="54">
        <f t="shared" si="13"/>
        <v>2904724.43</v>
      </c>
      <c r="I39" s="58">
        <f t="shared" si="4"/>
        <v>7686079.025</v>
      </c>
      <c r="J39" s="56">
        <f t="shared" si="14"/>
        <v>3471182.855</v>
      </c>
      <c r="K39" s="65">
        <f t="shared" si="15"/>
        <v>87077.69844</v>
      </c>
      <c r="L39" s="65">
        <f t="shared" si="5"/>
        <v>-1489.028643</v>
      </c>
      <c r="M39" s="66">
        <f t="shared" si="6"/>
        <v>8252537.45</v>
      </c>
      <c r="N39" s="56">
        <f t="shared" si="7"/>
        <v>60983.82319</v>
      </c>
      <c r="O39" s="67">
        <f t="shared" si="8"/>
        <v>0</v>
      </c>
      <c r="P39" s="54">
        <f t="shared" si="16"/>
        <v>4574236.857</v>
      </c>
      <c r="Q39" s="63">
        <f t="shared" si="9"/>
        <v>9355591.453</v>
      </c>
    </row>
    <row r="40">
      <c r="A40" s="64">
        <v>26.0</v>
      </c>
      <c r="B40" s="54">
        <f t="shared" si="10"/>
        <v>46272.49225</v>
      </c>
      <c r="C40" s="54">
        <f t="shared" si="1"/>
        <v>64009.0427</v>
      </c>
      <c r="D40" s="55">
        <f t="shared" si="11"/>
        <v>12038003.25</v>
      </c>
      <c r="E40" s="56">
        <f t="shared" si="2"/>
        <v>5427432.64</v>
      </c>
      <c r="F40" s="54">
        <f t="shared" si="12"/>
        <v>237074.8176</v>
      </c>
      <c r="G40" s="57">
        <f t="shared" si="3"/>
        <v>15884.01278</v>
      </c>
      <c r="H40" s="54">
        <f t="shared" si="13"/>
        <v>3176025.897</v>
      </c>
      <c r="I40" s="58">
        <f t="shared" si="4"/>
        <v>8366383.719</v>
      </c>
      <c r="J40" s="56">
        <f t="shared" si="14"/>
        <v>3800768.096</v>
      </c>
      <c r="K40" s="65">
        <f t="shared" si="15"/>
        <v>64131.8761</v>
      </c>
      <c r="L40" s="65">
        <f t="shared" si="5"/>
        <v>-1096.655081</v>
      </c>
      <c r="M40" s="66">
        <f t="shared" si="6"/>
        <v>8991125.918</v>
      </c>
      <c r="N40" s="56">
        <f t="shared" si="7"/>
        <v>62813.33789</v>
      </c>
      <c r="O40" s="67">
        <f t="shared" si="8"/>
        <v>0</v>
      </c>
      <c r="P40" s="54">
        <f t="shared" si="16"/>
        <v>5030684.497</v>
      </c>
      <c r="Q40" s="63">
        <f t="shared" si="9"/>
        <v>10221042.32</v>
      </c>
    </row>
    <row r="41">
      <c r="A41" s="64">
        <v>27.0</v>
      </c>
      <c r="B41" s="54">
        <f t="shared" si="10"/>
        <v>47660.66701</v>
      </c>
      <c r="C41" s="54">
        <f t="shared" si="1"/>
        <v>64826.49863</v>
      </c>
      <c r="D41" s="55">
        <f t="shared" si="11"/>
        <v>13313112.72</v>
      </c>
      <c r="E41" s="56">
        <f t="shared" si="2"/>
        <v>5807352.925</v>
      </c>
      <c r="F41" s="54">
        <f t="shared" si="12"/>
        <v>179523.462</v>
      </c>
      <c r="G41" s="57">
        <f t="shared" si="3"/>
        <v>12028.07195</v>
      </c>
      <c r="H41" s="54">
        <f t="shared" si="13"/>
        <v>3472704.581</v>
      </c>
      <c r="I41" s="58">
        <f t="shared" si="4"/>
        <v>9100534.044</v>
      </c>
      <c r="J41" s="56">
        <f t="shared" si="14"/>
        <v>4161127.321</v>
      </c>
      <c r="K41" s="65">
        <f t="shared" si="15"/>
        <v>40437.45312</v>
      </c>
      <c r="L41" s="65">
        <f t="shared" si="5"/>
        <v>-691.4804483</v>
      </c>
      <c r="M41" s="66">
        <f t="shared" si="6"/>
        <v>9788956.784</v>
      </c>
      <c r="N41" s="56">
        <f t="shared" si="7"/>
        <v>64697.73803</v>
      </c>
      <c r="O41" s="67">
        <f t="shared" si="8"/>
        <v>0</v>
      </c>
      <c r="P41" s="54">
        <f t="shared" si="16"/>
        <v>5531569.82</v>
      </c>
      <c r="Q41" s="63">
        <f t="shared" si="9"/>
        <v>11159399.28</v>
      </c>
    </row>
    <row r="42">
      <c r="A42" s="64">
        <v>28.0</v>
      </c>
      <c r="B42" s="54">
        <f t="shared" si="10"/>
        <v>49090.48702</v>
      </c>
      <c r="C42" s="54">
        <f t="shared" si="1"/>
        <v>65646.42194</v>
      </c>
      <c r="D42" s="55">
        <f t="shared" si="11"/>
        <v>14716635.06</v>
      </c>
      <c r="E42" s="56">
        <f t="shared" si="2"/>
        <v>6213867.63</v>
      </c>
      <c r="F42" s="54">
        <f t="shared" si="12"/>
        <v>118116.1655</v>
      </c>
      <c r="G42" s="57">
        <f t="shared" si="3"/>
        <v>7913.783086</v>
      </c>
      <c r="H42" s="54">
        <f t="shared" si="13"/>
        <v>3797054.19</v>
      </c>
      <c r="I42" s="58">
        <f t="shared" si="4"/>
        <v>9892805.654</v>
      </c>
      <c r="J42" s="56">
        <f t="shared" si="14"/>
        <v>4555079.832</v>
      </c>
      <c r="K42" s="65">
        <f t="shared" si="15"/>
        <v>16321.48934</v>
      </c>
      <c r="L42" s="65">
        <f t="shared" si="5"/>
        <v>-279.0974678</v>
      </c>
      <c r="M42" s="66">
        <f t="shared" si="6"/>
        <v>10650831.3</v>
      </c>
      <c r="N42" s="56">
        <f t="shared" si="7"/>
        <v>66638.67017</v>
      </c>
      <c r="O42" s="67">
        <f t="shared" si="8"/>
        <v>0</v>
      </c>
      <c r="P42" s="54">
        <f t="shared" si="16"/>
        <v>6081108.954</v>
      </c>
      <c r="Q42" s="63">
        <f t="shared" si="9"/>
        <v>12176860.42</v>
      </c>
    </row>
    <row r="43">
      <c r="A43" s="64">
        <v>29.0</v>
      </c>
      <c r="B43" s="54">
        <f t="shared" si="10"/>
        <v>50563.20163</v>
      </c>
      <c r="C43" s="54">
        <f t="shared" si="1"/>
        <v>66468.44551</v>
      </c>
      <c r="D43" s="55">
        <f t="shared" si="11"/>
        <v>16261413.85</v>
      </c>
      <c r="E43" s="56">
        <f t="shared" si="2"/>
        <v>6648838.364</v>
      </c>
      <c r="F43" s="54">
        <f t="shared" si="12"/>
        <v>52594.5801</v>
      </c>
      <c r="G43" s="57">
        <f t="shared" si="3"/>
        <v>3523.836867</v>
      </c>
      <c r="H43" s="54">
        <f t="shared" si="13"/>
        <v>4151578.294</v>
      </c>
      <c r="I43" s="58">
        <f t="shared" si="4"/>
        <v>10747822.08</v>
      </c>
      <c r="J43" s="56">
        <f t="shared" si="14"/>
        <v>4985713.507</v>
      </c>
      <c r="K43" s="65">
        <f t="shared" si="15"/>
        <v>-6900.766875</v>
      </c>
      <c r="L43" s="65">
        <f t="shared" si="5"/>
        <v>118.0031136</v>
      </c>
      <c r="M43" s="66">
        <f t="shared" si="6"/>
        <v>11581957.29</v>
      </c>
      <c r="N43" s="56">
        <f t="shared" si="7"/>
        <v>68637.83027</v>
      </c>
      <c r="O43" s="67">
        <f t="shared" si="8"/>
        <v>0</v>
      </c>
      <c r="P43" s="54">
        <f t="shared" si="16"/>
        <v>6683920.626</v>
      </c>
      <c r="Q43" s="63">
        <f t="shared" si="9"/>
        <v>13280164.41</v>
      </c>
    </row>
    <row r="44">
      <c r="A44" s="68">
        <v>30.0</v>
      </c>
      <c r="B44" s="69">
        <f t="shared" si="10"/>
        <v>52080.09768</v>
      </c>
      <c r="C44" s="69">
        <f t="shared" si="1"/>
        <v>67292.1824</v>
      </c>
      <c r="D44" s="70">
        <f t="shared" si="11"/>
        <v>17961576.64</v>
      </c>
      <c r="E44" s="71">
        <f t="shared" si="2"/>
        <v>7114257.049</v>
      </c>
      <c r="F44" s="69">
        <f t="shared" si="12"/>
        <v>-17316.95148</v>
      </c>
      <c r="G44" s="72">
        <f t="shared" si="3"/>
        <v>-1160.235749</v>
      </c>
      <c r="H44" s="69">
        <f t="shared" si="13"/>
        <v>4539009.898</v>
      </c>
      <c r="I44" s="73">
        <f t="shared" si="4"/>
        <v>11670583.9</v>
      </c>
      <c r="J44" s="71">
        <f t="shared" si="14"/>
        <v>5456428.83</v>
      </c>
      <c r="K44" s="74">
        <v>0.0</v>
      </c>
      <c r="L44" s="34">
        <f t="shared" si="5"/>
        <v>0</v>
      </c>
      <c r="M44" s="75">
        <f t="shared" si="6"/>
        <v>12588002.83</v>
      </c>
      <c r="N44" s="71">
        <f t="shared" si="7"/>
        <v>70696.96518</v>
      </c>
      <c r="O44" s="76">
        <f t="shared" si="8"/>
        <v>0</v>
      </c>
      <c r="P44" s="69">
        <f t="shared" si="16"/>
        <v>7345065.018</v>
      </c>
      <c r="Q44" s="77">
        <f t="shared" si="9"/>
        <v>14476639.02</v>
      </c>
    </row>
  </sheetData>
  <mergeCells count="29">
    <mergeCell ref="A10:C10"/>
    <mergeCell ref="E10:G10"/>
    <mergeCell ref="H13:I13"/>
    <mergeCell ref="J13:M13"/>
    <mergeCell ref="N13:Q13"/>
    <mergeCell ref="A1:D1"/>
    <mergeCell ref="E1:H1"/>
    <mergeCell ref="I1:Q12"/>
    <mergeCell ref="A2:C2"/>
    <mergeCell ref="E2:G2"/>
    <mergeCell ref="A3:C3"/>
    <mergeCell ref="A4:C4"/>
    <mergeCell ref="E3:G3"/>
    <mergeCell ref="E4:G4"/>
    <mergeCell ref="A5:C5"/>
    <mergeCell ref="E5:G5"/>
    <mergeCell ref="A6:C6"/>
    <mergeCell ref="E6:G6"/>
    <mergeCell ref="A7:D7"/>
    <mergeCell ref="E7:G7"/>
    <mergeCell ref="A8:C8"/>
    <mergeCell ref="E8:G8"/>
    <mergeCell ref="A9:C9"/>
    <mergeCell ref="E9:G9"/>
    <mergeCell ref="A11:C11"/>
    <mergeCell ref="A12:C12"/>
    <mergeCell ref="A13:A14"/>
    <mergeCell ref="B13:D13"/>
    <mergeCell ref="E13:G13"/>
  </mergeCells>
  <drawing r:id="rId2"/>
  <legacyDrawing r:id="rId3"/>
</worksheet>
</file>